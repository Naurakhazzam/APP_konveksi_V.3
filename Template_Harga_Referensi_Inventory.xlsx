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Konveksi V.3\stitchlyx-v3\"/>
    </mc:Choice>
  </mc:AlternateContent>
  <xr:revisionPtr revIDLastSave="0" documentId="13_ncr:1_{0F37D5F5-C591-4FC1-9B68-AAA72E63BD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arga &amp; Konversi" sheetId="1" r:id="rId1"/>
    <sheet name="Pandu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7" i="1" l="1"/>
  <c r="G86" i="1"/>
  <c r="G85" i="1"/>
  <c r="G84" i="1"/>
  <c r="G83" i="1"/>
  <c r="G82" i="1"/>
  <c r="G81" i="1"/>
  <c r="G80" i="1"/>
  <c r="G52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<sst xmlns="http://schemas.openxmlformats.org/spreadsheetml/2006/main" count="312" uniqueCount="134">
  <si>
    <t>TEMPLATE HARGA REFERENSI &amp; KONVERSI SATUAN — STITCHLYX</t>
  </si>
  <si>
    <t>Isi kolom KUNING: Satuan Beli, Faktor Konversi, dan Harga Beli. Kolom HIJAU (Harga Referensi) dihitung otomatis. Jika tidak ada konversi, isi Harga Referensi langsung di kolom H.</t>
  </si>
  <si>
    <t>No</t>
  </si>
  <si>
    <t>Nama Item</t>
  </si>
  <si>
    <t>Satuan
Pakai
(sistem)</t>
  </si>
  <si>
    <t>Satuan Beli
(isi jika beda)
Contoh: roll, kg, lusin</t>
  </si>
  <si>
    <t>Faktor Konversi
1 satuan beli =
berapa satuan pakai?</t>
  </si>
  <si>
    <t>Harga Beli
per Satuan Beli
(Rp)</t>
  </si>
  <si>
    <t>Harga Referensi
per Satuan Pakai
(auto / isi manual)</t>
  </si>
  <si>
    <t>Catatan</t>
  </si>
  <si>
    <t>Bahan JN Hitam</t>
  </si>
  <si>
    <t>yard</t>
  </si>
  <si>
    <t>Bahan JN Light brown</t>
  </si>
  <si>
    <t>Bahan JN Navy</t>
  </si>
  <si>
    <t>Bahan JN Skyblue</t>
  </si>
  <si>
    <t>Bahan JN Tobacco</t>
  </si>
  <si>
    <t>pcs</t>
  </si>
  <si>
    <t>Chinos Army</t>
  </si>
  <si>
    <t>Chinos grey</t>
  </si>
  <si>
    <t>Chinos Hitam</t>
  </si>
  <si>
    <t>Chinos Khaki</t>
  </si>
  <si>
    <t>Drill Dark grey</t>
  </si>
  <si>
    <t>meter</t>
  </si>
  <si>
    <t>Drill Hitam</t>
  </si>
  <si>
    <t>Drill Light grey</t>
  </si>
  <si>
    <t>Drill Mustard</t>
  </si>
  <si>
    <t>Drill navy</t>
  </si>
  <si>
    <t>Kain keras</t>
  </si>
  <si>
    <t>roll</t>
  </si>
  <si>
    <t>Kain saku</t>
  </si>
  <si>
    <t>kg</t>
  </si>
  <si>
    <t>Kancing Cargo</t>
  </si>
  <si>
    <t>Kancing Koko</t>
  </si>
  <si>
    <t>Karet Celana</t>
  </si>
  <si>
    <t>Karet Jacket</t>
  </si>
  <si>
    <t>Kepala Sleting</t>
  </si>
  <si>
    <t>Lakos Almond</t>
  </si>
  <si>
    <t>Lakos Army</t>
  </si>
  <si>
    <t>Lakos Biru tua</t>
  </si>
  <si>
    <t>Lakos Dark grey</t>
  </si>
  <si>
    <t>Lakos hitam</t>
  </si>
  <si>
    <t>Lakos Maroon</t>
  </si>
  <si>
    <t>Lakos navy</t>
  </si>
  <si>
    <t>Lakos Ocean Blue</t>
  </si>
  <si>
    <t>Lakos Olive</t>
  </si>
  <si>
    <t>Lakos Putih</t>
  </si>
  <si>
    <t>Lakos Skyblue</t>
  </si>
  <si>
    <t>Mata itik</t>
  </si>
  <si>
    <t>Puring</t>
  </si>
  <si>
    <t>Sleting Koil</t>
  </si>
  <si>
    <t>Sleting Koil YKK</t>
  </si>
  <si>
    <t>Sleting Roll an WP</t>
  </si>
  <si>
    <t>Sleting roll biasa</t>
  </si>
  <si>
    <t>Sleting saku</t>
  </si>
  <si>
    <t>Sleting Topi</t>
  </si>
  <si>
    <t>Sleting WP badan</t>
  </si>
  <si>
    <t>Sleting WP saku</t>
  </si>
  <si>
    <t>Sleting WP saku orange</t>
  </si>
  <si>
    <t>Sleting WP saku stabilo</t>
  </si>
  <si>
    <t>Stoper Celana</t>
  </si>
  <si>
    <t>Stoper Jacket</t>
  </si>
  <si>
    <t>Tali Celana</t>
  </si>
  <si>
    <t>Tali Jacket</t>
  </si>
  <si>
    <t>Toyobo brown</t>
  </si>
  <si>
    <t>Toyobo Dark grey</t>
  </si>
  <si>
    <t>Toyobo denim</t>
  </si>
  <si>
    <t>Toyobo Hitam</t>
  </si>
  <si>
    <t>Toyobo Light grey</t>
  </si>
  <si>
    <t>Toyobo Maroon</t>
  </si>
  <si>
    <t>Toyobo Mustard</t>
  </si>
  <si>
    <t>Toyobo Navy</t>
  </si>
  <si>
    <t>Toyobo Skyblue</t>
  </si>
  <si>
    <t>Toyobo White</t>
  </si>
  <si>
    <t>PANDUAN PENGISIAN</t>
  </si>
  <si>
    <t>Kolom</t>
  </si>
  <si>
    <t>Penjelasan</t>
  </si>
  <si>
    <t>Satuan Pakai (sistem)</t>
  </si>
  <si>
    <t>Satuan yang dipakai sistem saat produksi. Jangan diubah di sini.</t>
  </si>
  <si>
    <t>Satuan Beli</t>
  </si>
  <si>
    <t>Satuan pembelian ke supplier. Contoh: roll, kg, lusin, gross, bal</t>
  </si>
  <si>
    <t>Faktor Konversi</t>
  </si>
  <si>
    <t>Berapa satuan pakai dalam 1 satuan beli.
Contoh: 1 roll kain keras = 400 pcs → isi 400</t>
  </si>
  <si>
    <t>Harga Beli per Satuan Beli</t>
  </si>
  <si>
    <t>Harga yang Anda bayar ke supplier per satuan beli (Rp).
Contoh: 1 roll = Rp 90.000 → isi 90000</t>
  </si>
  <si>
    <t>Harga Referensi</t>
  </si>
  <si>
    <t>OTOMATIS dihitung: Harga Beli ÷ Faktor Konversi.
Jika tidak ada konversi, isi manual di kolom ini.</t>
  </si>
  <si>
    <t>CONTOH</t>
  </si>
  <si>
    <t>Item</t>
  </si>
  <si>
    <t>Kain Keras</t>
  </si>
  <si>
    <t>Satuan Pakai</t>
  </si>
  <si>
    <t>roll (di sistem)</t>
  </si>
  <si>
    <t>400 (1 roll = 400 pcs)</t>
  </si>
  <si>
    <t>Harga Beli</t>
  </si>
  <si>
    <t>Rp 90.000 per roll</t>
  </si>
  <si>
    <t>Rp 225 per pcs (otomatis: 90.000 ÷ 400)</t>
  </si>
  <si>
    <t>kg (di sistem)</t>
  </si>
  <si>
    <t>20 (1 kg = 20 pcs karet)</t>
  </si>
  <si>
    <t>Rp 40.000 per kg</t>
  </si>
  <si>
    <t>Rp 2.000 per pcs (otomatis: 40.000 ÷ 20)</t>
  </si>
  <si>
    <t>Benang (semua warna)</t>
  </si>
  <si>
    <t>pcs (di sistem)</t>
  </si>
  <si>
    <t>lusin</t>
  </si>
  <si>
    <t>12 (1 lusin = 12 pcs)</t>
  </si>
  <si>
    <t>Rp 25.500 per lusin</t>
  </si>
  <si>
    <t>Rp 2.125 per pcs (otomatis: 25.500 ÷ 12)</t>
  </si>
  <si>
    <t>gross</t>
  </si>
  <si>
    <t>pack</t>
  </si>
  <si>
    <t>Lakos Beige</t>
  </si>
  <si>
    <t>benang obras</t>
  </si>
  <si>
    <t>Benang almond Kecil</t>
  </si>
  <si>
    <t>Benang army Kecil</t>
  </si>
  <si>
    <t>Benang beige Kecil</t>
  </si>
  <si>
    <t>Benang Brown kecil</t>
  </si>
  <si>
    <t>Benang Dark grey Kecil</t>
  </si>
  <si>
    <t>Benang denim Kecil</t>
  </si>
  <si>
    <t>Benang grey Kecil</t>
  </si>
  <si>
    <t>Benang Hitam Kecil</t>
  </si>
  <si>
    <t>Benang khaki Kecil</t>
  </si>
  <si>
    <t>Benang Light grey Kecil</t>
  </si>
  <si>
    <t>Benang Mustard Kecil</t>
  </si>
  <si>
    <t>Benang Navy Kecil</t>
  </si>
  <si>
    <t>Benang Ocean Blue Kecil</t>
  </si>
  <si>
    <t>Benang Olive Kecil</t>
  </si>
  <si>
    <t>Benang putih Kecil</t>
  </si>
  <si>
    <t>Benang skyblue Kecil</t>
  </si>
  <si>
    <t>Benang tobacco Kecil</t>
  </si>
  <si>
    <t xml:space="preserve">Benang Hitam 3000 yard </t>
  </si>
  <si>
    <t>Benang Khaki 3000 yard</t>
  </si>
  <si>
    <t>Benang army 3000 yard</t>
  </si>
  <si>
    <t>Benang dark grey 3000 yard</t>
  </si>
  <si>
    <t>Benang hitam 5000 yard</t>
  </si>
  <si>
    <t xml:space="preserve">benang nevy 5000 yard </t>
  </si>
  <si>
    <t xml:space="preserve">benang light grey 5000 yard 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</si>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</sst>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12" x14ac:knownFonts="1">
    <font>
      <sz val="11"/>
      <color theme="1"/>
      <name val="Calibri"/>
      <family val="2"/>
      <charset val="1"/>
    </font>
    <font>
      <b/>
      <sz val="13"/>
      <color rgb="FFE5C17B"/>
      <name val="Arial"/>
      <charset val="1"/>
    </font>
    <font>
      <i/>
      <sz val="9"/>
      <color rgb="FF555555"/>
      <name val="Arial"/>
      <charset val="1"/>
    </font>
    <font>
      <b/>
      <sz val="10"/>
      <color rgb="FFE5C17B"/>
      <name val="Arial"/>
      <charset val="1"/>
    </font>
    <font>
      <sz val="9"/>
      <color rgb="FF888888"/>
      <name val="Arial"/>
      <charset val="1"/>
    </font>
    <font>
      <b/>
      <sz val="10"/>
      <color rgb="FF111111"/>
      <name val="Arial"/>
      <charset val="1"/>
    </font>
    <font>
      <sz val="10"/>
      <color rgb="FF333333"/>
      <name val="Arial"/>
      <charset val="1"/>
    </font>
    <font>
      <sz val="10"/>
      <color rgb="FF0000CC"/>
      <name val="Arial"/>
      <charset val="1"/>
    </font>
    <font>
      <sz val="10"/>
      <color rgb="FF000000"/>
      <name val="Arial"/>
      <charset val="1"/>
    </font>
    <font>
      <i/>
      <sz val="9"/>
      <color rgb="FF666666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D1F"/>
        <bgColor rgb="FF111111"/>
      </patternFill>
    </fill>
    <fill>
      <patternFill patternType="solid">
        <fgColor rgb="FFFFF9E6"/>
        <bgColor rgb="FFFFFDE7"/>
      </patternFill>
    </fill>
    <fill>
      <patternFill patternType="solid">
        <fgColor rgb="FFFFFFFF"/>
        <bgColor rgb="FFF7F7F7"/>
      </patternFill>
    </fill>
    <fill>
      <patternFill patternType="solid">
        <fgColor rgb="FFEFEFEF"/>
        <bgColor rgb="FFF7F7F7"/>
      </patternFill>
    </fill>
    <fill>
      <patternFill patternType="solid">
        <fgColor rgb="FFFFFDE7"/>
        <bgColor rgb="FFFFF9E6"/>
      </patternFill>
    </fill>
    <fill>
      <patternFill patternType="solid">
        <fgColor rgb="FFF0FFF4"/>
        <bgColor rgb="FFF7F7F7"/>
      </patternFill>
    </fill>
    <fill>
      <patternFill patternType="solid">
        <fgColor rgb="FFF7F7F7"/>
        <bgColor rgb="FFFFF9E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F0FFF4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7F7F7"/>
      <rgbColor rgb="FFFFF9E6"/>
      <rgbColor rgb="FF99CCFF"/>
      <rgbColor rgb="FFFF99CC"/>
      <rgbColor rgb="FFCC99FF"/>
      <rgbColor rgb="FFE5C17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1A1D1F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zoomScaleNormal="100" workbookViewId="0">
      <pane xSplit="2" ySplit="3" topLeftCell="C73" activePane="bottomRight" state="frozen"/>
      <selection pane="topRight" activeCell="C1" sqref="C1"/>
      <selection pane="bottomLeft" activeCell="A4" sqref="A4"/>
      <selection pane="bottomRight" activeCell="H83" sqref="H83"/>
    </sheetView>
  </sheetViews>
  <sheetFormatPr defaultColWidth="8.7109375" defaultRowHeight="15" x14ac:dyDescent="0.25"/>
  <cols>
    <col min="1" max="1" width="8" customWidth="1"/>
    <col min="2" max="2" width="28" customWidth="1"/>
    <col min="3" max="3" width="12" customWidth="1"/>
    <col min="4" max="4" width="18" customWidth="1"/>
    <col min="5" max="5" width="16" customWidth="1"/>
    <col min="6" max="6" width="18" customWidth="1"/>
    <col min="7" max="7" width="20" customWidth="1"/>
    <col min="8" max="8" width="22" customWidth="1"/>
  </cols>
  <sheetData>
    <row r="1" spans="1:8" ht="27.7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8" ht="30" customHeight="1" x14ac:dyDescent="0.25">
      <c r="A2" s="1" t="s">
        <v>1</v>
      </c>
      <c r="B2" s="1"/>
      <c r="C2" s="1"/>
      <c r="D2" s="1"/>
      <c r="E2" s="1"/>
      <c r="F2" s="1"/>
      <c r="G2" s="1"/>
    </row>
    <row r="3" spans="1:8" ht="48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19.5" customHeight="1" x14ac:dyDescent="0.25">
      <c r="A4" s="4">
        <v>1</v>
      </c>
      <c r="B4" s="5" t="s">
        <v>10</v>
      </c>
      <c r="C4" s="6" t="s">
        <v>11</v>
      </c>
      <c r="D4" s="7" t="s">
        <v>11</v>
      </c>
      <c r="E4" s="7">
        <v>1</v>
      </c>
      <c r="F4" s="8">
        <v>20000</v>
      </c>
      <c r="G4" s="9">
        <f>IF(AND(E4&lt;&gt;"",E4&gt;0),ROUND(F4/E4,0),20000)</f>
        <v>20000</v>
      </c>
      <c r="H4" s="10"/>
    </row>
    <row r="5" spans="1:8" ht="19.5" customHeight="1" x14ac:dyDescent="0.25">
      <c r="A5" s="11">
        <v>2</v>
      </c>
      <c r="B5" s="12" t="s">
        <v>12</v>
      </c>
      <c r="C5" s="6" t="s">
        <v>11</v>
      </c>
      <c r="D5" s="7" t="s">
        <v>11</v>
      </c>
      <c r="E5" s="7">
        <v>1</v>
      </c>
      <c r="F5" s="8">
        <v>20000</v>
      </c>
      <c r="G5" s="9">
        <f>IF(AND(E5&lt;&gt;"",E5&gt;0),ROUND(F5/E5,0),20000)</f>
        <v>20000</v>
      </c>
      <c r="H5" s="10"/>
    </row>
    <row r="6" spans="1:8" ht="19.5" customHeight="1" x14ac:dyDescent="0.25">
      <c r="A6" s="4">
        <v>3</v>
      </c>
      <c r="B6" s="5" t="s">
        <v>13</v>
      </c>
      <c r="C6" s="6" t="s">
        <v>11</v>
      </c>
      <c r="D6" s="7" t="s">
        <v>11</v>
      </c>
      <c r="E6" s="7">
        <v>1</v>
      </c>
      <c r="F6" s="8">
        <v>20000</v>
      </c>
      <c r="G6" s="9">
        <f>IF(AND(E6&lt;&gt;"",E6&gt;0),ROUND(F6/E6,0),20000)</f>
        <v>20000</v>
      </c>
      <c r="H6" s="10"/>
    </row>
    <row r="7" spans="1:8" ht="19.5" customHeight="1" x14ac:dyDescent="0.25">
      <c r="A7" s="11">
        <v>4</v>
      </c>
      <c r="B7" s="12" t="s">
        <v>14</v>
      </c>
      <c r="C7" s="6" t="s">
        <v>11</v>
      </c>
      <c r="D7" s="7" t="s">
        <v>11</v>
      </c>
      <c r="E7" s="7">
        <v>1</v>
      </c>
      <c r="F7" s="8">
        <v>20000</v>
      </c>
      <c r="G7" s="9">
        <f>IF(AND(E7&lt;&gt;"",E7&gt;0),ROUND(F7/E7,0),20000)</f>
        <v>20000</v>
      </c>
      <c r="H7" s="10"/>
    </row>
    <row r="8" spans="1:8" ht="19.5" customHeight="1" x14ac:dyDescent="0.25">
      <c r="A8" s="4">
        <v>5</v>
      </c>
      <c r="B8" s="5" t="s">
        <v>15</v>
      </c>
      <c r="C8" s="6" t="s">
        <v>11</v>
      </c>
      <c r="D8" s="7" t="s">
        <v>11</v>
      </c>
      <c r="E8" s="7">
        <v>1</v>
      </c>
      <c r="F8" s="8">
        <v>20000</v>
      </c>
      <c r="G8" s="9">
        <f>IF(AND(E8&lt;&gt;"",E8&gt;0),ROUND(F8/E8,0),20000)</f>
        <v>20000</v>
      </c>
      <c r="H8" s="10"/>
    </row>
    <row r="9" spans="1:8" ht="19.5" customHeight="1" x14ac:dyDescent="0.25">
      <c r="A9" s="11">
        <v>6</v>
      </c>
      <c r="B9" s="12" t="s">
        <v>109</v>
      </c>
      <c r="C9" s="6" t="s">
        <v>16</v>
      </c>
      <c r="D9" s="7" t="s">
        <v>101</v>
      </c>
      <c r="E9" s="7">
        <v>12</v>
      </c>
      <c r="F9" s="8">
        <v>25500</v>
      </c>
      <c r="G9" s="9">
        <f>IF(AND(E9&lt;&gt;"",E9&gt;0),ROUND(F9/E9,0),25500)</f>
        <v>2125</v>
      </c>
      <c r="H9" s="13"/>
    </row>
    <row r="10" spans="1:8" ht="19.5" customHeight="1" x14ac:dyDescent="0.25">
      <c r="A10" s="4">
        <v>7</v>
      </c>
      <c r="B10" s="5" t="s">
        <v>110</v>
      </c>
      <c r="C10" s="6" t="s">
        <v>16</v>
      </c>
      <c r="D10" s="7" t="s">
        <v>101</v>
      </c>
      <c r="E10" s="7">
        <v>12</v>
      </c>
      <c r="F10" s="8">
        <v>25500</v>
      </c>
      <c r="G10" s="9">
        <f>IF(AND(E10&lt;&gt;"",E10&gt;0),ROUND(F10/E10,0),25500)</f>
        <v>2125</v>
      </c>
      <c r="H10" s="10"/>
    </row>
    <row r="11" spans="1:8" ht="19.5" customHeight="1" x14ac:dyDescent="0.25">
      <c r="A11" s="11">
        <v>8</v>
      </c>
      <c r="B11" s="12" t="s">
        <v>111</v>
      </c>
      <c r="C11" s="6" t="s">
        <v>16</v>
      </c>
      <c r="D11" s="7" t="s">
        <v>101</v>
      </c>
      <c r="E11" s="7">
        <v>12</v>
      </c>
      <c r="F11" s="8">
        <v>25500</v>
      </c>
      <c r="G11" s="9">
        <f t="shared" ref="G11:G25" si="0">IF(AND(E11&lt;&gt;"",E11&gt;0),ROUND(F11/E11,0),)</f>
        <v>2125</v>
      </c>
      <c r="H11" s="13"/>
    </row>
    <row r="12" spans="1:8" ht="19.5" customHeight="1" x14ac:dyDescent="0.25">
      <c r="A12" s="4">
        <v>9</v>
      </c>
      <c r="B12" s="5" t="s">
        <v>112</v>
      </c>
      <c r="C12" s="6" t="s">
        <v>16</v>
      </c>
      <c r="D12" s="7" t="s">
        <v>101</v>
      </c>
      <c r="E12" s="7">
        <v>12</v>
      </c>
      <c r="F12" s="8">
        <v>25500</v>
      </c>
      <c r="G12" s="9">
        <f t="shared" si="0"/>
        <v>2125</v>
      </c>
      <c r="H12" s="10"/>
    </row>
    <row r="13" spans="1:8" ht="19.5" customHeight="1" x14ac:dyDescent="0.25">
      <c r="A13" s="11">
        <v>10</v>
      </c>
      <c r="B13" s="12" t="s">
        <v>113</v>
      </c>
      <c r="C13" s="6" t="s">
        <v>16</v>
      </c>
      <c r="D13" s="7" t="s">
        <v>101</v>
      </c>
      <c r="E13" s="7">
        <v>12</v>
      </c>
      <c r="F13" s="8">
        <v>25500</v>
      </c>
      <c r="G13" s="9">
        <f t="shared" si="0"/>
        <v>2125</v>
      </c>
      <c r="H13" s="13"/>
    </row>
    <row r="14" spans="1:8" ht="19.5" customHeight="1" x14ac:dyDescent="0.25">
      <c r="A14" s="4">
        <v>11</v>
      </c>
      <c r="B14" s="5" t="s">
        <v>114</v>
      </c>
      <c r="C14" s="6" t="s">
        <v>16</v>
      </c>
      <c r="D14" s="7" t="s">
        <v>101</v>
      </c>
      <c r="E14" s="7">
        <v>12</v>
      </c>
      <c r="F14" s="8">
        <v>25500</v>
      </c>
      <c r="G14" s="9">
        <f t="shared" si="0"/>
        <v>2125</v>
      </c>
      <c r="H14" s="10"/>
    </row>
    <row r="15" spans="1:8" ht="19.5" customHeight="1" x14ac:dyDescent="0.25">
      <c r="A15" s="11">
        <v>12</v>
      </c>
      <c r="B15" s="12" t="s">
        <v>115</v>
      </c>
      <c r="C15" s="6" t="s">
        <v>16</v>
      </c>
      <c r="D15" s="7" t="s">
        <v>101</v>
      </c>
      <c r="E15" s="7">
        <v>12</v>
      </c>
      <c r="F15" s="8">
        <v>25500</v>
      </c>
      <c r="G15" s="9">
        <f t="shared" si="0"/>
        <v>2125</v>
      </c>
      <c r="H15" s="13"/>
    </row>
    <row r="16" spans="1:8" ht="19.5" customHeight="1" x14ac:dyDescent="0.25">
      <c r="A16" s="4">
        <v>13</v>
      </c>
      <c r="B16" s="5" t="s">
        <v>116</v>
      </c>
      <c r="C16" s="6" t="s">
        <v>16</v>
      </c>
      <c r="D16" s="7" t="s">
        <v>101</v>
      </c>
      <c r="E16" s="7">
        <v>12</v>
      </c>
      <c r="F16" s="8">
        <v>25500</v>
      </c>
      <c r="G16" s="9">
        <f t="shared" si="0"/>
        <v>2125</v>
      </c>
      <c r="H16" s="10"/>
    </row>
    <row r="17" spans="1:8" ht="19.5" customHeight="1" x14ac:dyDescent="0.25">
      <c r="A17" s="11">
        <v>14</v>
      </c>
      <c r="B17" s="12" t="s">
        <v>117</v>
      </c>
      <c r="C17" s="6" t="s">
        <v>16</v>
      </c>
      <c r="D17" s="7" t="s">
        <v>101</v>
      </c>
      <c r="E17" s="7">
        <v>12</v>
      </c>
      <c r="F17" s="8">
        <v>25500</v>
      </c>
      <c r="G17" s="9">
        <f t="shared" si="0"/>
        <v>2125</v>
      </c>
      <c r="H17" s="13"/>
    </row>
    <row r="18" spans="1:8" ht="19.5" customHeight="1" x14ac:dyDescent="0.25">
      <c r="A18" s="4">
        <v>15</v>
      </c>
      <c r="B18" s="5" t="s">
        <v>118</v>
      </c>
      <c r="C18" s="6" t="s">
        <v>16</v>
      </c>
      <c r="D18" s="7" t="s">
        <v>101</v>
      </c>
      <c r="E18" s="7">
        <v>12</v>
      </c>
      <c r="F18" s="8">
        <v>25500</v>
      </c>
      <c r="G18" s="9">
        <f t="shared" si="0"/>
        <v>2125</v>
      </c>
      <c r="H18" s="10"/>
    </row>
    <row r="19" spans="1:8" ht="19.5" customHeight="1" x14ac:dyDescent="0.25">
      <c r="A19" s="11">
        <v>16</v>
      </c>
      <c r="B19" s="12" t="s">
        <v>119</v>
      </c>
      <c r="C19" s="6" t="s">
        <v>16</v>
      </c>
      <c r="D19" s="7" t="s">
        <v>101</v>
      </c>
      <c r="E19" s="7">
        <v>12</v>
      </c>
      <c r="F19" s="8">
        <v>25500</v>
      </c>
      <c r="G19" s="9">
        <f t="shared" si="0"/>
        <v>2125</v>
      </c>
      <c r="H19" s="13"/>
    </row>
    <row r="20" spans="1:8" ht="19.5" customHeight="1" x14ac:dyDescent="0.25">
      <c r="A20" s="4">
        <v>17</v>
      </c>
      <c r="B20" s="5" t="s">
        <v>120</v>
      </c>
      <c r="C20" s="6" t="s">
        <v>16</v>
      </c>
      <c r="D20" s="7" t="s">
        <v>101</v>
      </c>
      <c r="E20" s="7">
        <v>12</v>
      </c>
      <c r="F20" s="8">
        <v>25500</v>
      </c>
      <c r="G20" s="9">
        <f t="shared" si="0"/>
        <v>2125</v>
      </c>
      <c r="H20" s="10"/>
    </row>
    <row r="21" spans="1:8" ht="19.5" customHeight="1" x14ac:dyDescent="0.25">
      <c r="A21" s="11">
        <v>18</v>
      </c>
      <c r="B21" s="12" t="s">
        <v>121</v>
      </c>
      <c r="C21" s="6" t="s">
        <v>16</v>
      </c>
      <c r="D21" s="7" t="s">
        <v>101</v>
      </c>
      <c r="E21" s="7">
        <v>12</v>
      </c>
      <c r="F21" s="8">
        <v>25500</v>
      </c>
      <c r="G21" s="9">
        <f t="shared" si="0"/>
        <v>2125</v>
      </c>
      <c r="H21" s="13"/>
    </row>
    <row r="22" spans="1:8" ht="19.5" customHeight="1" x14ac:dyDescent="0.25">
      <c r="A22" s="4">
        <v>19</v>
      </c>
      <c r="B22" s="5" t="s">
        <v>122</v>
      </c>
      <c r="C22" s="6" t="s">
        <v>16</v>
      </c>
      <c r="D22" s="7" t="s">
        <v>101</v>
      </c>
      <c r="E22" s="7">
        <v>12</v>
      </c>
      <c r="F22" s="8">
        <v>25500</v>
      </c>
      <c r="G22" s="9">
        <f t="shared" si="0"/>
        <v>2125</v>
      </c>
      <c r="H22" s="10"/>
    </row>
    <row r="23" spans="1:8" ht="19.5" customHeight="1" x14ac:dyDescent="0.25">
      <c r="A23" s="11">
        <v>20</v>
      </c>
      <c r="B23" s="12" t="s">
        <v>123</v>
      </c>
      <c r="C23" s="6" t="s">
        <v>16</v>
      </c>
      <c r="D23" s="7" t="s">
        <v>101</v>
      </c>
      <c r="E23" s="7">
        <v>12</v>
      </c>
      <c r="F23" s="8">
        <v>25500</v>
      </c>
      <c r="G23" s="9">
        <f t="shared" si="0"/>
        <v>2125</v>
      </c>
      <c r="H23" s="13"/>
    </row>
    <row r="24" spans="1:8" ht="19.5" customHeight="1" x14ac:dyDescent="0.25">
      <c r="A24" s="4">
        <v>21</v>
      </c>
      <c r="B24" s="5" t="s">
        <v>124</v>
      </c>
      <c r="C24" s="6" t="s">
        <v>16</v>
      </c>
      <c r="D24" s="7" t="s">
        <v>101</v>
      </c>
      <c r="E24" s="7">
        <v>12</v>
      </c>
      <c r="F24" s="8">
        <v>25500</v>
      </c>
      <c r="G24" s="9">
        <f t="shared" si="0"/>
        <v>2125</v>
      </c>
      <c r="H24" s="10"/>
    </row>
    <row r="25" spans="1:8" ht="19.5" customHeight="1" x14ac:dyDescent="0.25">
      <c r="A25" s="11">
        <v>22</v>
      </c>
      <c r="B25" s="12" t="s">
        <v>125</v>
      </c>
      <c r="C25" s="6" t="s">
        <v>16</v>
      </c>
      <c r="D25" s="7" t="s">
        <v>101</v>
      </c>
      <c r="E25" s="7">
        <v>12</v>
      </c>
      <c r="F25" s="8">
        <v>25500</v>
      </c>
      <c r="G25" s="9">
        <f t="shared" si="0"/>
        <v>2125</v>
      </c>
      <c r="H25" s="13"/>
    </row>
    <row r="26" spans="1:8" ht="19.5" customHeight="1" x14ac:dyDescent="0.25">
      <c r="A26" s="4">
        <v>23</v>
      </c>
      <c r="B26" s="5" t="s">
        <v>17</v>
      </c>
      <c r="C26" s="6" t="s">
        <v>11</v>
      </c>
      <c r="D26" s="7" t="s">
        <v>11</v>
      </c>
      <c r="E26" s="7">
        <v>1</v>
      </c>
      <c r="F26" s="8">
        <v>29000</v>
      </c>
      <c r="G26" s="9">
        <f>IF(AND(E26&lt;&gt;"",E26&gt;0),ROUND(F26/E26,0),29000)</f>
        <v>29000</v>
      </c>
      <c r="H26" s="10"/>
    </row>
    <row r="27" spans="1:8" ht="19.5" customHeight="1" x14ac:dyDescent="0.25">
      <c r="A27" s="11">
        <v>24</v>
      </c>
      <c r="B27" s="12" t="s">
        <v>18</v>
      </c>
      <c r="C27" s="6" t="s">
        <v>11</v>
      </c>
      <c r="D27" s="7" t="s">
        <v>11</v>
      </c>
      <c r="E27" s="7">
        <v>1</v>
      </c>
      <c r="F27" s="8">
        <v>29000</v>
      </c>
      <c r="G27" s="9">
        <f>IF(AND(E27&lt;&gt;"",E27&gt;0),ROUND(F27/E27,0),29000)</f>
        <v>29000</v>
      </c>
      <c r="H27" s="13"/>
    </row>
    <row r="28" spans="1:8" ht="19.5" customHeight="1" x14ac:dyDescent="0.25">
      <c r="A28" s="4">
        <v>25</v>
      </c>
      <c r="B28" s="5" t="s">
        <v>19</v>
      </c>
      <c r="C28" s="6" t="s">
        <v>11</v>
      </c>
      <c r="D28" s="7" t="s">
        <v>11</v>
      </c>
      <c r="E28" s="7">
        <v>1</v>
      </c>
      <c r="F28" s="8">
        <v>29000</v>
      </c>
      <c r="G28" s="9">
        <f>IF(AND(E28&lt;&gt;"",E28&gt;0),ROUND(F28/E28,0),29000)</f>
        <v>29000</v>
      </c>
      <c r="H28" s="10"/>
    </row>
    <row r="29" spans="1:8" ht="19.5" customHeight="1" x14ac:dyDescent="0.25">
      <c r="A29" s="11">
        <v>26</v>
      </c>
      <c r="B29" s="12" t="s">
        <v>20</v>
      </c>
      <c r="C29" s="6" t="s">
        <v>11</v>
      </c>
      <c r="D29" s="7" t="s">
        <v>11</v>
      </c>
      <c r="E29" s="7">
        <v>1</v>
      </c>
      <c r="F29" s="8">
        <v>29000</v>
      </c>
      <c r="G29" s="9">
        <f>IF(AND(E29&lt;&gt;"",E29&gt;0),ROUND(F29/E29,0),29000)</f>
        <v>29000</v>
      </c>
      <c r="H29" s="13"/>
    </row>
    <row r="30" spans="1:8" ht="19.5" customHeight="1" x14ac:dyDescent="0.25">
      <c r="A30" s="4">
        <v>27</v>
      </c>
      <c r="B30" s="5" t="s">
        <v>21</v>
      </c>
      <c r="C30" s="6" t="s">
        <v>22</v>
      </c>
      <c r="D30" s="7" t="s">
        <v>22</v>
      </c>
      <c r="E30" s="7">
        <v>1</v>
      </c>
      <c r="F30" s="8">
        <v>28300</v>
      </c>
      <c r="G30" s="9">
        <f>IF(AND(E30&lt;&gt;"",E30&gt;0),ROUND(F30/E30,0),28300)</f>
        <v>28300</v>
      </c>
      <c r="H30" s="10"/>
    </row>
    <row r="31" spans="1:8" ht="19.5" customHeight="1" x14ac:dyDescent="0.25">
      <c r="A31" s="11">
        <v>28</v>
      </c>
      <c r="B31" s="12" t="s">
        <v>23</v>
      </c>
      <c r="C31" s="6" t="s">
        <v>22</v>
      </c>
      <c r="D31" s="7" t="s">
        <v>22</v>
      </c>
      <c r="E31" s="7">
        <v>1</v>
      </c>
      <c r="F31" s="8">
        <v>28300</v>
      </c>
      <c r="G31" s="9">
        <f>IF(AND(E31&lt;&gt;"",E31&gt;0),ROUND(F31/E31,0),28300)</f>
        <v>28300</v>
      </c>
      <c r="H31" s="13"/>
    </row>
    <row r="32" spans="1:8" ht="19.5" customHeight="1" x14ac:dyDescent="0.25">
      <c r="A32" s="4">
        <v>29</v>
      </c>
      <c r="B32" s="5" t="s">
        <v>24</v>
      </c>
      <c r="C32" s="6" t="s">
        <v>22</v>
      </c>
      <c r="D32" s="7" t="s">
        <v>22</v>
      </c>
      <c r="E32" s="7">
        <v>1</v>
      </c>
      <c r="F32" s="8">
        <v>28300</v>
      </c>
      <c r="G32" s="9">
        <f>IF(AND(E32&lt;&gt;"",E32&gt;0),ROUND(F32/E32,0),28300)</f>
        <v>28300</v>
      </c>
      <c r="H32" s="10"/>
    </row>
    <row r="33" spans="1:8" ht="19.5" customHeight="1" x14ac:dyDescent="0.25">
      <c r="A33" s="11">
        <v>30</v>
      </c>
      <c r="B33" s="12" t="s">
        <v>25</v>
      </c>
      <c r="C33" s="6" t="s">
        <v>22</v>
      </c>
      <c r="D33" s="7" t="s">
        <v>22</v>
      </c>
      <c r="E33" s="7">
        <v>1</v>
      </c>
      <c r="F33" s="8">
        <v>28300</v>
      </c>
      <c r="G33" s="9">
        <f>IF(AND(E33&lt;&gt;"",E33&gt;0),ROUND(F33/E33,0),28300)</f>
        <v>28300</v>
      </c>
      <c r="H33" s="13"/>
    </row>
    <row r="34" spans="1:8" ht="19.5" customHeight="1" x14ac:dyDescent="0.25">
      <c r="A34" s="4">
        <v>31</v>
      </c>
      <c r="B34" s="5" t="s">
        <v>26</v>
      </c>
      <c r="C34" s="6" t="s">
        <v>22</v>
      </c>
      <c r="D34" s="7" t="s">
        <v>22</v>
      </c>
      <c r="E34" s="7">
        <v>1</v>
      </c>
      <c r="F34" s="8">
        <v>28300</v>
      </c>
      <c r="G34" s="9">
        <f>IF(AND(E34&lt;&gt;"",E34&gt;0),ROUND(F34/E34,0),28300)</f>
        <v>28300</v>
      </c>
      <c r="H34" s="10"/>
    </row>
    <row r="35" spans="1:8" ht="19.5" customHeight="1" x14ac:dyDescent="0.25">
      <c r="A35" s="11">
        <v>32</v>
      </c>
      <c r="B35" s="12" t="s">
        <v>27</v>
      </c>
      <c r="C35" s="6" t="s">
        <v>28</v>
      </c>
      <c r="D35" s="7" t="s">
        <v>28</v>
      </c>
      <c r="E35" s="7">
        <v>450</v>
      </c>
      <c r="F35" s="8">
        <v>225000</v>
      </c>
      <c r="G35" s="9">
        <f>IF(AND(E35&lt;&gt;"",E35&gt;0),ROUND(F35/E35,0),225000)</f>
        <v>500</v>
      </c>
      <c r="H35" s="13"/>
    </row>
    <row r="36" spans="1:8" ht="19.5" customHeight="1" x14ac:dyDescent="0.25">
      <c r="A36" s="4">
        <v>33</v>
      </c>
      <c r="B36" s="5" t="s">
        <v>29</v>
      </c>
      <c r="C36" s="6" t="s">
        <v>30</v>
      </c>
      <c r="D36" s="7" t="s">
        <v>30</v>
      </c>
      <c r="E36" s="7">
        <v>80</v>
      </c>
      <c r="F36" s="8">
        <v>45000</v>
      </c>
      <c r="G36" s="9">
        <f>IF(AND(E36&lt;&gt;"",E36&gt;0),ROUND(F36/E36,0),45000)</f>
        <v>563</v>
      </c>
      <c r="H36" s="10"/>
    </row>
    <row r="37" spans="1:8" ht="19.5" customHeight="1" x14ac:dyDescent="0.25">
      <c r="A37" s="11">
        <v>34</v>
      </c>
      <c r="B37" s="12" t="s">
        <v>31</v>
      </c>
      <c r="C37" s="6" t="s">
        <v>16</v>
      </c>
      <c r="D37" s="7" t="s">
        <v>105</v>
      </c>
      <c r="E37" s="7">
        <v>144</v>
      </c>
      <c r="F37" s="8">
        <v>32000</v>
      </c>
      <c r="G37" s="9">
        <f>IF(AND(E37&lt;&gt;"",E37&gt;0),ROUND(F37/E37,0),)</f>
        <v>222</v>
      </c>
      <c r="H37" s="13"/>
    </row>
    <row r="38" spans="1:8" ht="19.5" customHeight="1" x14ac:dyDescent="0.25">
      <c r="A38" s="4">
        <v>35</v>
      </c>
      <c r="B38" s="5" t="s">
        <v>32</v>
      </c>
      <c r="C38" s="6" t="s">
        <v>16</v>
      </c>
      <c r="D38" s="7" t="s">
        <v>105</v>
      </c>
      <c r="E38" s="7">
        <v>144</v>
      </c>
      <c r="F38" s="8">
        <v>23000</v>
      </c>
      <c r="G38" s="9">
        <f>IF(AND(E38&lt;&gt;"",E38&gt;0),ROUND(F38/E38,0),)</f>
        <v>160</v>
      </c>
      <c r="H38" s="10"/>
    </row>
    <row r="39" spans="1:8" ht="19.5" customHeight="1" x14ac:dyDescent="0.25">
      <c r="A39" s="11">
        <v>36</v>
      </c>
      <c r="B39" s="12" t="s">
        <v>33</v>
      </c>
      <c r="C39" s="6" t="s">
        <v>30</v>
      </c>
      <c r="D39" s="7" t="s">
        <v>30</v>
      </c>
      <c r="E39" s="7">
        <v>20</v>
      </c>
      <c r="F39" s="8">
        <v>40000</v>
      </c>
      <c r="G39" s="9">
        <f>IF(AND(E39&lt;&gt;"",E39&gt;0),ROUND(F39/E39,0),40000)</f>
        <v>2000</v>
      </c>
      <c r="H39" s="13"/>
    </row>
    <row r="40" spans="1:8" ht="19.5" customHeight="1" x14ac:dyDescent="0.25">
      <c r="A40" s="4">
        <v>37</v>
      </c>
      <c r="B40" s="5" t="s">
        <v>34</v>
      </c>
      <c r="C40" s="6" t="s">
        <v>30</v>
      </c>
      <c r="D40" s="7" t="s">
        <v>30</v>
      </c>
      <c r="E40" s="7">
        <v>30</v>
      </c>
      <c r="F40" s="8">
        <v>40000</v>
      </c>
      <c r="G40" s="9">
        <f>IF(AND(E40&lt;&gt;"",E40&gt;0),ROUND(F40/E40,0),40000)</f>
        <v>1333</v>
      </c>
      <c r="H40" s="10"/>
    </row>
    <row r="41" spans="1:8" ht="19.5" customHeight="1" x14ac:dyDescent="0.25">
      <c r="A41" s="11">
        <v>38</v>
      </c>
      <c r="B41" s="12" t="s">
        <v>35</v>
      </c>
      <c r="C41" s="6" t="s">
        <v>16</v>
      </c>
      <c r="D41" s="7" t="s">
        <v>106</v>
      </c>
      <c r="E41" s="7">
        <v>100</v>
      </c>
      <c r="F41" s="8">
        <v>95000</v>
      </c>
      <c r="G41" s="9">
        <f>IF(AND(E41&lt;&gt;"",E41&gt;0),ROUND(F41/E41,0),950)</f>
        <v>950</v>
      </c>
      <c r="H41" s="13"/>
    </row>
    <row r="42" spans="1:8" ht="19.5" customHeight="1" x14ac:dyDescent="0.25">
      <c r="A42" s="4">
        <v>39</v>
      </c>
      <c r="B42" s="5" t="s">
        <v>36</v>
      </c>
      <c r="C42" s="6" t="s">
        <v>30</v>
      </c>
      <c r="D42" s="7" t="s">
        <v>30</v>
      </c>
      <c r="E42" s="7">
        <v>1</v>
      </c>
      <c r="F42" s="8">
        <v>96000</v>
      </c>
      <c r="G42" s="9">
        <f t="shared" ref="G42:G87" si="1">IF(AND(E42&lt;&gt;"",E42&gt;0),ROUND(F42/E42,0),)</f>
        <v>96000</v>
      </c>
      <c r="H42" s="10"/>
    </row>
    <row r="43" spans="1:8" ht="19.5" customHeight="1" x14ac:dyDescent="0.25">
      <c r="A43" s="11">
        <v>40</v>
      </c>
      <c r="B43" s="12" t="s">
        <v>37</v>
      </c>
      <c r="C43" s="6" t="s">
        <v>30</v>
      </c>
      <c r="D43" s="7" t="s">
        <v>30</v>
      </c>
      <c r="E43" s="7">
        <v>1</v>
      </c>
      <c r="F43" s="8">
        <v>99000</v>
      </c>
      <c r="G43" s="9">
        <f t="shared" si="1"/>
        <v>99000</v>
      </c>
      <c r="H43" s="13"/>
    </row>
    <row r="44" spans="1:8" ht="19.5" customHeight="1" x14ac:dyDescent="0.25">
      <c r="A44" s="4">
        <v>41</v>
      </c>
      <c r="B44" s="5" t="s">
        <v>38</v>
      </c>
      <c r="C44" s="6" t="s">
        <v>30</v>
      </c>
      <c r="D44" s="7" t="s">
        <v>30</v>
      </c>
      <c r="E44" s="7">
        <v>1</v>
      </c>
      <c r="F44" s="8">
        <v>99000</v>
      </c>
      <c r="G44" s="9">
        <f t="shared" si="1"/>
        <v>99000</v>
      </c>
      <c r="H44" s="10"/>
    </row>
    <row r="45" spans="1:8" ht="19.5" customHeight="1" x14ac:dyDescent="0.25">
      <c r="A45" s="11">
        <v>42</v>
      </c>
      <c r="B45" s="12" t="s">
        <v>39</v>
      </c>
      <c r="C45" s="6" t="s">
        <v>30</v>
      </c>
      <c r="D45" s="7" t="s">
        <v>30</v>
      </c>
      <c r="E45" s="7">
        <v>1</v>
      </c>
      <c r="F45" s="8">
        <v>115000</v>
      </c>
      <c r="G45" s="9">
        <f t="shared" si="1"/>
        <v>115000</v>
      </c>
      <c r="H45" s="13"/>
    </row>
    <row r="46" spans="1:8" ht="19.5" customHeight="1" x14ac:dyDescent="0.25">
      <c r="A46" s="4">
        <v>43</v>
      </c>
      <c r="B46" s="5" t="s">
        <v>40</v>
      </c>
      <c r="C46" s="6" t="s">
        <v>30</v>
      </c>
      <c r="D46" s="7" t="s">
        <v>30</v>
      </c>
      <c r="E46" s="7">
        <v>1</v>
      </c>
      <c r="F46" s="8">
        <v>102000</v>
      </c>
      <c r="G46" s="9">
        <f t="shared" si="1"/>
        <v>102000</v>
      </c>
      <c r="H46" s="10"/>
    </row>
    <row r="47" spans="1:8" ht="19.5" customHeight="1" x14ac:dyDescent="0.25">
      <c r="A47" s="11">
        <v>44</v>
      </c>
      <c r="B47" s="12" t="s">
        <v>41</v>
      </c>
      <c r="C47" s="6" t="s">
        <v>30</v>
      </c>
      <c r="D47" s="7" t="s">
        <v>30</v>
      </c>
      <c r="E47" s="7">
        <v>1</v>
      </c>
      <c r="F47" s="8">
        <v>99000</v>
      </c>
      <c r="G47" s="9">
        <f t="shared" si="1"/>
        <v>99000</v>
      </c>
      <c r="H47" s="13"/>
    </row>
    <row r="48" spans="1:8" ht="19.5" customHeight="1" x14ac:dyDescent="0.25">
      <c r="A48" s="4">
        <v>45</v>
      </c>
      <c r="B48" s="5" t="s">
        <v>42</v>
      </c>
      <c r="C48" s="6" t="s">
        <v>30</v>
      </c>
      <c r="D48" s="7" t="s">
        <v>30</v>
      </c>
      <c r="E48" s="7">
        <v>1</v>
      </c>
      <c r="F48" s="8">
        <v>172500</v>
      </c>
      <c r="G48" s="9">
        <f t="shared" si="1"/>
        <v>172500</v>
      </c>
      <c r="H48" s="10"/>
    </row>
    <row r="49" spans="1:8" ht="19.5" customHeight="1" x14ac:dyDescent="0.25">
      <c r="A49" s="11">
        <v>46</v>
      </c>
      <c r="B49" s="12" t="s">
        <v>43</v>
      </c>
      <c r="C49" s="6" t="s">
        <v>30</v>
      </c>
      <c r="D49" s="7" t="s">
        <v>30</v>
      </c>
      <c r="E49" s="7">
        <v>1</v>
      </c>
      <c r="F49" s="8">
        <v>99000</v>
      </c>
      <c r="G49" s="9">
        <f t="shared" si="1"/>
        <v>99000</v>
      </c>
      <c r="H49" s="13"/>
    </row>
    <row r="50" spans="1:8" ht="19.5" customHeight="1" x14ac:dyDescent="0.25">
      <c r="A50" s="4">
        <v>47</v>
      </c>
      <c r="B50" s="5" t="s">
        <v>44</v>
      </c>
      <c r="C50" s="6" t="s">
        <v>30</v>
      </c>
      <c r="D50" s="7" t="s">
        <v>30</v>
      </c>
      <c r="E50" s="7">
        <v>1</v>
      </c>
      <c r="F50" s="8">
        <v>96000</v>
      </c>
      <c r="G50" s="9">
        <f t="shared" si="1"/>
        <v>96000</v>
      </c>
      <c r="H50" s="10"/>
    </row>
    <row r="51" spans="1:8" ht="19.5" customHeight="1" x14ac:dyDescent="0.25">
      <c r="A51" s="11">
        <v>48</v>
      </c>
      <c r="B51" s="12" t="s">
        <v>45</v>
      </c>
      <c r="C51" s="6" t="s">
        <v>30</v>
      </c>
      <c r="D51" s="7" t="s">
        <v>30</v>
      </c>
      <c r="E51" s="7">
        <v>1</v>
      </c>
      <c r="F51" s="8">
        <v>88000</v>
      </c>
      <c r="G51" s="9">
        <f t="shared" si="1"/>
        <v>88000</v>
      </c>
      <c r="H51" s="13"/>
    </row>
    <row r="52" spans="1:8" ht="19.5" customHeight="1" x14ac:dyDescent="0.25">
      <c r="A52" s="11"/>
      <c r="B52" s="12" t="s">
        <v>107</v>
      </c>
      <c r="C52" s="6" t="s">
        <v>30</v>
      </c>
      <c r="D52" s="7" t="s">
        <v>30</v>
      </c>
      <c r="E52" s="7">
        <v>1</v>
      </c>
      <c r="F52" s="8">
        <v>93000</v>
      </c>
      <c r="G52" s="9">
        <f t="shared" si="1"/>
        <v>93000</v>
      </c>
      <c r="H52" s="13"/>
    </row>
    <row r="53" spans="1:8" ht="19.5" customHeight="1" x14ac:dyDescent="0.25">
      <c r="A53" s="4">
        <v>49</v>
      </c>
      <c r="B53" s="5" t="s">
        <v>46</v>
      </c>
      <c r="C53" s="6" t="s">
        <v>30</v>
      </c>
      <c r="D53" s="7" t="s">
        <v>30</v>
      </c>
      <c r="E53" s="7">
        <v>1</v>
      </c>
      <c r="F53" s="8">
        <v>93000</v>
      </c>
      <c r="G53" s="9">
        <f t="shared" si="1"/>
        <v>93000</v>
      </c>
      <c r="H53" s="10"/>
    </row>
    <row r="54" spans="1:8" ht="19.5" customHeight="1" x14ac:dyDescent="0.25">
      <c r="A54" s="11">
        <v>50</v>
      </c>
      <c r="B54" s="12" t="s">
        <v>47</v>
      </c>
      <c r="C54" s="6" t="s">
        <v>16</v>
      </c>
      <c r="D54" s="7" t="s">
        <v>106</v>
      </c>
      <c r="E54" s="7">
        <v>500</v>
      </c>
      <c r="F54" s="8">
        <v>95000</v>
      </c>
      <c r="G54" s="9">
        <f t="shared" si="1"/>
        <v>190</v>
      </c>
      <c r="H54" s="13"/>
    </row>
    <row r="55" spans="1:8" ht="19.5" customHeight="1" x14ac:dyDescent="0.25">
      <c r="A55" s="4">
        <v>51</v>
      </c>
      <c r="B55" s="5" t="s">
        <v>48</v>
      </c>
      <c r="C55" s="6" t="s">
        <v>16</v>
      </c>
      <c r="D55" s="7" t="s">
        <v>30</v>
      </c>
      <c r="E55" s="7">
        <v>6</v>
      </c>
      <c r="F55" s="8">
        <v>54000</v>
      </c>
      <c r="G55" s="9">
        <f t="shared" si="1"/>
        <v>9000</v>
      </c>
      <c r="H55" s="10"/>
    </row>
    <row r="56" spans="1:8" ht="19.5" customHeight="1" x14ac:dyDescent="0.25">
      <c r="A56" s="11">
        <v>52</v>
      </c>
      <c r="B56" s="12" t="s">
        <v>49</v>
      </c>
      <c r="C56" s="6" t="s">
        <v>16</v>
      </c>
      <c r="D56" s="7" t="s">
        <v>101</v>
      </c>
      <c r="E56" s="7">
        <v>12</v>
      </c>
      <c r="F56" s="8">
        <v>40000</v>
      </c>
      <c r="G56" s="9">
        <f t="shared" si="1"/>
        <v>3333</v>
      </c>
      <c r="H56" s="13"/>
    </row>
    <row r="57" spans="1:8" ht="19.5" customHeight="1" x14ac:dyDescent="0.25">
      <c r="A57" s="4">
        <v>53</v>
      </c>
      <c r="B57" s="5" t="s">
        <v>50</v>
      </c>
      <c r="C57" s="6" t="s">
        <v>16</v>
      </c>
      <c r="D57" s="7" t="s">
        <v>101</v>
      </c>
      <c r="E57" s="7">
        <v>12</v>
      </c>
      <c r="F57" s="8">
        <v>8000</v>
      </c>
      <c r="G57" s="9">
        <f t="shared" si="1"/>
        <v>667</v>
      </c>
      <c r="H57" s="10"/>
    </row>
    <row r="58" spans="1:8" ht="19.5" customHeight="1" x14ac:dyDescent="0.25">
      <c r="A58" s="11">
        <v>54</v>
      </c>
      <c r="B58" s="12" t="s">
        <v>51</v>
      </c>
      <c r="C58" s="6" t="s">
        <v>22</v>
      </c>
      <c r="D58" s="7" t="s">
        <v>28</v>
      </c>
      <c r="E58" s="7">
        <v>160</v>
      </c>
      <c r="F58" s="8">
        <v>375000</v>
      </c>
      <c r="G58" s="9">
        <f t="shared" si="1"/>
        <v>2344</v>
      </c>
      <c r="H58" s="13"/>
    </row>
    <row r="59" spans="1:8" ht="19.5" customHeight="1" x14ac:dyDescent="0.25">
      <c r="A59" s="4">
        <v>55</v>
      </c>
      <c r="B59" s="5" t="s">
        <v>52</v>
      </c>
      <c r="C59" s="6" t="s">
        <v>22</v>
      </c>
      <c r="D59" s="7" t="s">
        <v>28</v>
      </c>
      <c r="E59" s="7">
        <v>160</v>
      </c>
      <c r="F59" s="8">
        <v>180000</v>
      </c>
      <c r="G59" s="9">
        <f t="shared" si="1"/>
        <v>1125</v>
      </c>
      <c r="H59" s="10"/>
    </row>
    <row r="60" spans="1:8" ht="19.5" customHeight="1" x14ac:dyDescent="0.25">
      <c r="A60" s="11">
        <v>56</v>
      </c>
      <c r="B60" s="12" t="s">
        <v>53</v>
      </c>
      <c r="C60" s="6" t="s">
        <v>16</v>
      </c>
      <c r="D60" s="7" t="s">
        <v>28</v>
      </c>
      <c r="E60" s="7">
        <v>160</v>
      </c>
      <c r="F60" s="8">
        <v>180000</v>
      </c>
      <c r="G60" s="9">
        <f t="shared" si="1"/>
        <v>1125</v>
      </c>
      <c r="H60" s="13"/>
    </row>
    <row r="61" spans="1:8" ht="19.5" customHeight="1" x14ac:dyDescent="0.25">
      <c r="A61" s="4">
        <v>57</v>
      </c>
      <c r="B61" s="5" t="s">
        <v>54</v>
      </c>
      <c r="C61" s="6" t="s">
        <v>16</v>
      </c>
      <c r="D61" s="7" t="s">
        <v>28</v>
      </c>
      <c r="E61" s="7">
        <v>100</v>
      </c>
      <c r="F61" s="8">
        <v>375000</v>
      </c>
      <c r="G61" s="9">
        <f t="shared" si="1"/>
        <v>3750</v>
      </c>
      <c r="H61" s="10"/>
    </row>
    <row r="62" spans="1:8" ht="19.5" customHeight="1" x14ac:dyDescent="0.25">
      <c r="A62" s="11">
        <v>58</v>
      </c>
      <c r="B62" s="12" t="s">
        <v>55</v>
      </c>
      <c r="C62" s="6" t="s">
        <v>16</v>
      </c>
      <c r="D62" s="7" t="s">
        <v>101</v>
      </c>
      <c r="E62" s="7">
        <v>12</v>
      </c>
      <c r="F62" s="8">
        <v>60000</v>
      </c>
      <c r="G62" s="9">
        <f t="shared" si="1"/>
        <v>5000</v>
      </c>
      <c r="H62" s="13"/>
    </row>
    <row r="63" spans="1:8" ht="19.5" customHeight="1" x14ac:dyDescent="0.25">
      <c r="A63" s="4">
        <v>59</v>
      </c>
      <c r="B63" s="5" t="s">
        <v>56</v>
      </c>
      <c r="C63" s="6" t="s">
        <v>16</v>
      </c>
      <c r="D63" s="7" t="s">
        <v>28</v>
      </c>
      <c r="E63" s="7">
        <v>160</v>
      </c>
      <c r="F63" s="8">
        <v>375000</v>
      </c>
      <c r="G63" s="9">
        <f t="shared" si="1"/>
        <v>2344</v>
      </c>
      <c r="H63" s="10"/>
    </row>
    <row r="64" spans="1:8" ht="19.5" customHeight="1" x14ac:dyDescent="0.25">
      <c r="A64" s="11">
        <v>60</v>
      </c>
      <c r="B64" s="12" t="s">
        <v>57</v>
      </c>
      <c r="C64" s="6" t="s">
        <v>16</v>
      </c>
      <c r="D64" s="7" t="s">
        <v>101</v>
      </c>
      <c r="E64" s="7">
        <v>12</v>
      </c>
      <c r="F64" s="8">
        <v>35000</v>
      </c>
      <c r="G64" s="9">
        <f t="shared" si="1"/>
        <v>2917</v>
      </c>
      <c r="H64" s="13"/>
    </row>
    <row r="65" spans="1:8" ht="19.5" customHeight="1" x14ac:dyDescent="0.25">
      <c r="A65" s="4">
        <v>61</v>
      </c>
      <c r="B65" s="5" t="s">
        <v>58</v>
      </c>
      <c r="C65" s="6" t="s">
        <v>16</v>
      </c>
      <c r="D65" s="7" t="s">
        <v>101</v>
      </c>
      <c r="E65" s="7">
        <v>12</v>
      </c>
      <c r="F65" s="8">
        <v>35000</v>
      </c>
      <c r="G65" s="9">
        <f t="shared" si="1"/>
        <v>2917</v>
      </c>
      <c r="H65" s="10"/>
    </row>
    <row r="66" spans="1:8" ht="19.5" customHeight="1" x14ac:dyDescent="0.25">
      <c r="A66" s="11">
        <v>62</v>
      </c>
      <c r="B66" s="12" t="s">
        <v>59</v>
      </c>
      <c r="C66" s="6" t="s">
        <v>16</v>
      </c>
      <c r="D66" s="7" t="s">
        <v>106</v>
      </c>
      <c r="E66" s="7">
        <v>500</v>
      </c>
      <c r="F66" s="8">
        <v>45000</v>
      </c>
      <c r="G66" s="9">
        <f t="shared" si="1"/>
        <v>90</v>
      </c>
      <c r="H66" s="13"/>
    </row>
    <row r="67" spans="1:8" ht="19.5" customHeight="1" x14ac:dyDescent="0.25">
      <c r="A67" s="4">
        <v>63</v>
      </c>
      <c r="B67" s="5" t="s">
        <v>60</v>
      </c>
      <c r="C67" s="6" t="s">
        <v>16</v>
      </c>
      <c r="D67" s="7" t="s">
        <v>106</v>
      </c>
      <c r="E67" s="7">
        <v>100</v>
      </c>
      <c r="F67" s="8">
        <v>25000</v>
      </c>
      <c r="G67" s="9">
        <f t="shared" si="1"/>
        <v>250</v>
      </c>
      <c r="H67" s="10"/>
    </row>
    <row r="68" spans="1:8" ht="19.5" customHeight="1" x14ac:dyDescent="0.25">
      <c r="A68" s="11">
        <v>64</v>
      </c>
      <c r="B68" s="12" t="s">
        <v>61</v>
      </c>
      <c r="C68" s="6" t="s">
        <v>30</v>
      </c>
      <c r="D68" s="7" t="s">
        <v>30</v>
      </c>
      <c r="E68" s="7">
        <v>100</v>
      </c>
      <c r="F68" s="8">
        <v>45000</v>
      </c>
      <c r="G68" s="9">
        <f t="shared" si="1"/>
        <v>450</v>
      </c>
      <c r="H68" s="13"/>
    </row>
    <row r="69" spans="1:8" ht="19.5" customHeight="1" x14ac:dyDescent="0.25">
      <c r="A69" s="4">
        <v>65</v>
      </c>
      <c r="B69" s="5" t="s">
        <v>62</v>
      </c>
      <c r="C69" s="6" t="s">
        <v>28</v>
      </c>
      <c r="D69" s="7" t="s">
        <v>106</v>
      </c>
      <c r="E69" s="7">
        <v>100</v>
      </c>
      <c r="F69" s="8">
        <v>45000</v>
      </c>
      <c r="G69" s="9">
        <f t="shared" si="1"/>
        <v>450</v>
      </c>
      <c r="H69" s="10"/>
    </row>
    <row r="70" spans="1:8" ht="19.5" customHeight="1" x14ac:dyDescent="0.25">
      <c r="A70" s="11">
        <v>66</v>
      </c>
      <c r="B70" s="12" t="s">
        <v>63</v>
      </c>
      <c r="C70" s="6" t="s">
        <v>11</v>
      </c>
      <c r="D70" s="7" t="s">
        <v>11</v>
      </c>
      <c r="E70" s="7">
        <v>1</v>
      </c>
      <c r="F70" s="8">
        <v>19500</v>
      </c>
      <c r="G70" s="9">
        <f t="shared" si="1"/>
        <v>19500</v>
      </c>
      <c r="H70" s="13"/>
    </row>
    <row r="71" spans="1:8" ht="19.5" customHeight="1" x14ac:dyDescent="0.25">
      <c r="A71" s="4">
        <v>67</v>
      </c>
      <c r="B71" s="5" t="s">
        <v>64</v>
      </c>
      <c r="C71" s="6" t="s">
        <v>11</v>
      </c>
      <c r="D71" s="7" t="s">
        <v>11</v>
      </c>
      <c r="E71" s="7">
        <v>1</v>
      </c>
      <c r="F71" s="8">
        <v>19500</v>
      </c>
      <c r="G71" s="9">
        <f t="shared" si="1"/>
        <v>19500</v>
      </c>
      <c r="H71" s="10"/>
    </row>
    <row r="72" spans="1:8" ht="19.5" customHeight="1" x14ac:dyDescent="0.25">
      <c r="A72" s="11">
        <v>68</v>
      </c>
      <c r="B72" s="12" t="s">
        <v>65</v>
      </c>
      <c r="C72" s="6" t="s">
        <v>11</v>
      </c>
      <c r="D72" s="7" t="s">
        <v>11</v>
      </c>
      <c r="E72" s="7">
        <v>1</v>
      </c>
      <c r="F72" s="8">
        <v>19500</v>
      </c>
      <c r="G72" s="9">
        <f t="shared" si="1"/>
        <v>19500</v>
      </c>
      <c r="H72" s="13"/>
    </row>
    <row r="73" spans="1:8" ht="19.5" customHeight="1" x14ac:dyDescent="0.25">
      <c r="A73" s="4">
        <v>69</v>
      </c>
      <c r="B73" s="5" t="s">
        <v>66</v>
      </c>
      <c r="C73" s="6" t="s">
        <v>11</v>
      </c>
      <c r="D73" s="7" t="s">
        <v>11</v>
      </c>
      <c r="E73" s="7">
        <v>1</v>
      </c>
      <c r="F73" s="8">
        <v>19500</v>
      </c>
      <c r="G73" s="9">
        <f t="shared" si="1"/>
        <v>19500</v>
      </c>
      <c r="H73" s="10"/>
    </row>
    <row r="74" spans="1:8" ht="19.5" customHeight="1" x14ac:dyDescent="0.25">
      <c r="A74" s="11">
        <v>70</v>
      </c>
      <c r="B74" s="12" t="s">
        <v>67</v>
      </c>
      <c r="C74" s="6" t="s">
        <v>11</v>
      </c>
      <c r="D74" s="7" t="s">
        <v>11</v>
      </c>
      <c r="E74" s="7">
        <v>1</v>
      </c>
      <c r="F74" s="8">
        <v>19500</v>
      </c>
      <c r="G74" s="9">
        <f t="shared" si="1"/>
        <v>19500</v>
      </c>
      <c r="H74" s="13"/>
    </row>
    <row r="75" spans="1:8" ht="19.5" customHeight="1" x14ac:dyDescent="0.25">
      <c r="A75" s="4">
        <v>71</v>
      </c>
      <c r="B75" s="5" t="s">
        <v>68</v>
      </c>
      <c r="C75" s="6" t="s">
        <v>11</v>
      </c>
      <c r="D75" s="7" t="s">
        <v>11</v>
      </c>
      <c r="E75" s="7">
        <v>1</v>
      </c>
      <c r="F75" s="8">
        <v>19500</v>
      </c>
      <c r="G75" s="9">
        <f t="shared" si="1"/>
        <v>19500</v>
      </c>
      <c r="H75" s="10"/>
    </row>
    <row r="76" spans="1:8" ht="19.5" customHeight="1" x14ac:dyDescent="0.25">
      <c r="A76" s="11">
        <v>72</v>
      </c>
      <c r="B76" s="12" t="s">
        <v>69</v>
      </c>
      <c r="C76" s="6" t="s">
        <v>11</v>
      </c>
      <c r="D76" s="7" t="s">
        <v>11</v>
      </c>
      <c r="E76" s="7">
        <v>1</v>
      </c>
      <c r="F76" s="8">
        <v>19500</v>
      </c>
      <c r="G76" s="9">
        <f t="shared" si="1"/>
        <v>19500</v>
      </c>
      <c r="H76" s="13"/>
    </row>
    <row r="77" spans="1:8" ht="19.5" customHeight="1" x14ac:dyDescent="0.25">
      <c r="A77" s="4">
        <v>73</v>
      </c>
      <c r="B77" s="5" t="s">
        <v>70</v>
      </c>
      <c r="C77" s="6" t="s">
        <v>11</v>
      </c>
      <c r="D77" s="7" t="s">
        <v>11</v>
      </c>
      <c r="E77" s="7">
        <v>1</v>
      </c>
      <c r="F77" s="8">
        <v>19500</v>
      </c>
      <c r="G77" s="9">
        <f t="shared" si="1"/>
        <v>19500</v>
      </c>
      <c r="H77" s="10"/>
    </row>
    <row r="78" spans="1:8" ht="19.5" customHeight="1" x14ac:dyDescent="0.25">
      <c r="A78" s="11">
        <v>74</v>
      </c>
      <c r="B78" s="12" t="s">
        <v>71</v>
      </c>
      <c r="C78" s="6" t="s">
        <v>11</v>
      </c>
      <c r="D78" s="7" t="s">
        <v>11</v>
      </c>
      <c r="E78" s="7">
        <v>1</v>
      </c>
      <c r="F78" s="8">
        <v>19500</v>
      </c>
      <c r="G78" s="9">
        <f t="shared" si="1"/>
        <v>19500</v>
      </c>
      <c r="H78" s="13"/>
    </row>
    <row r="79" spans="1:8" ht="19.5" customHeight="1" x14ac:dyDescent="0.25">
      <c r="A79" s="4">
        <v>75</v>
      </c>
      <c r="B79" s="5" t="s">
        <v>72</v>
      </c>
      <c r="C79" s="6" t="s">
        <v>11</v>
      </c>
      <c r="D79" s="7" t="s">
        <v>11</v>
      </c>
      <c r="E79" s="7">
        <v>1</v>
      </c>
      <c r="F79" s="8">
        <v>19500</v>
      </c>
      <c r="G79" s="9">
        <f t="shared" si="1"/>
        <v>19500</v>
      </c>
      <c r="H79" s="10"/>
    </row>
    <row r="80" spans="1:8" x14ac:dyDescent="0.25">
      <c r="A80" s="17">
        <v>76</v>
      </c>
      <c r="B80" s="18" t="s">
        <v>108</v>
      </c>
      <c r="C80" s="19" t="s">
        <v>16</v>
      </c>
      <c r="D80" s="20" t="s">
        <v>16</v>
      </c>
      <c r="E80" s="20">
        <v>1</v>
      </c>
      <c r="F80" s="21">
        <v>14000</v>
      </c>
      <c r="G80" s="22">
        <f t="shared" si="1"/>
        <v>14000</v>
      </c>
    </row>
    <row r="81" spans="1:7" x14ac:dyDescent="0.25">
      <c r="A81" s="24">
        <v>77</v>
      </c>
      <c r="B81" s="23" t="s">
        <v>126</v>
      </c>
      <c r="C81" s="19" t="s">
        <v>16</v>
      </c>
      <c r="D81" s="20" t="s">
        <v>133</v>
      </c>
      <c r="E81" s="20">
        <v>6</v>
      </c>
      <c r="F81" s="21">
        <v>70000</v>
      </c>
      <c r="G81" s="22">
        <f t="shared" si="1"/>
        <v>11667</v>
      </c>
    </row>
    <row r="82" spans="1:7" x14ac:dyDescent="0.25">
      <c r="A82" s="17">
        <v>78</v>
      </c>
      <c r="B82" s="18" t="s">
        <v>127</v>
      </c>
      <c r="C82" s="19" t="s">
        <v>16</v>
      </c>
      <c r="D82" s="20" t="s">
        <v>133</v>
      </c>
      <c r="E82" s="20">
        <v>6</v>
      </c>
      <c r="F82" s="21">
        <v>70000</v>
      </c>
      <c r="G82" s="22">
        <f t="shared" si="1"/>
        <v>11667</v>
      </c>
    </row>
    <row r="83" spans="1:7" x14ac:dyDescent="0.25">
      <c r="A83" s="24">
        <v>79</v>
      </c>
      <c r="B83" s="23" t="s">
        <v>128</v>
      </c>
      <c r="C83" s="19" t="s">
        <v>16</v>
      </c>
      <c r="D83" s="20" t="s">
        <v>133</v>
      </c>
      <c r="E83" s="20">
        <v>6</v>
      </c>
      <c r="F83" s="21">
        <v>70000</v>
      </c>
      <c r="G83" s="22">
        <f t="shared" si="1"/>
        <v>11667</v>
      </c>
    </row>
    <row r="84" spans="1:7" x14ac:dyDescent="0.25">
      <c r="A84" s="17">
        <v>80</v>
      </c>
      <c r="B84" s="18" t="s">
        <v>129</v>
      </c>
      <c r="C84" s="19" t="s">
        <v>16</v>
      </c>
      <c r="D84" s="20" t="s">
        <v>133</v>
      </c>
      <c r="E84" s="20">
        <v>6</v>
      </c>
      <c r="F84" s="21">
        <v>70000</v>
      </c>
      <c r="G84" s="22">
        <f t="shared" si="1"/>
        <v>11667</v>
      </c>
    </row>
    <row r="85" spans="1:7" x14ac:dyDescent="0.25">
      <c r="A85" s="24">
        <v>81</v>
      </c>
      <c r="B85" s="23" t="s">
        <v>130</v>
      </c>
      <c r="C85" s="19" t="s">
        <v>16</v>
      </c>
      <c r="D85" s="20" t="s">
        <v>133</v>
      </c>
      <c r="E85" s="20">
        <v>6</v>
      </c>
      <c r="F85" s="21">
        <v>73000</v>
      </c>
      <c r="G85" s="22">
        <f t="shared" si="1"/>
        <v>12167</v>
      </c>
    </row>
    <row r="86" spans="1:7" x14ac:dyDescent="0.25">
      <c r="A86" s="17">
        <v>82</v>
      </c>
      <c r="B86" s="18" t="s">
        <v>131</v>
      </c>
      <c r="C86" s="19" t="s">
        <v>16</v>
      </c>
      <c r="D86" s="20" t="s">
        <v>133</v>
      </c>
      <c r="E86" s="20">
        <v>6</v>
      </c>
      <c r="F86" s="21">
        <v>73000</v>
      </c>
      <c r="G86" s="22">
        <f t="shared" si="1"/>
        <v>12167</v>
      </c>
    </row>
    <row r="87" spans="1:7" x14ac:dyDescent="0.25">
      <c r="A87" s="24">
        <v>83</v>
      </c>
      <c r="B87" s="23" t="s">
        <v>132</v>
      </c>
      <c r="C87" s="19" t="s">
        <v>16</v>
      </c>
      <c r="D87" s="20" t="s">
        <v>133</v>
      </c>
      <c r="E87" s="20">
        <v>6</v>
      </c>
      <c r="F87" s="21">
        <v>73000</v>
      </c>
      <c r="G87" s="22">
        <f t="shared" si="1"/>
        <v>12167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5" customWidth="1"/>
  </cols>
  <sheetData>
    <row r="1" spans="1:2" ht="30" customHeight="1" x14ac:dyDescent="0.25">
      <c r="A1" s="14" t="s">
        <v>73</v>
      </c>
      <c r="B1" s="14"/>
    </row>
    <row r="2" spans="1:2" ht="30" customHeight="1" x14ac:dyDescent="0.25">
      <c r="A2" s="15"/>
      <c r="B2" s="16"/>
    </row>
    <row r="3" spans="1:2" ht="18" customHeight="1" x14ac:dyDescent="0.25">
      <c r="A3" s="14" t="s">
        <v>74</v>
      </c>
      <c r="B3" s="14" t="s">
        <v>75</v>
      </c>
    </row>
    <row r="4" spans="1:2" ht="18" customHeight="1" x14ac:dyDescent="0.25">
      <c r="A4" s="15" t="s">
        <v>76</v>
      </c>
      <c r="B4" s="16" t="s">
        <v>77</v>
      </c>
    </row>
    <row r="5" spans="1:2" ht="18" customHeight="1" x14ac:dyDescent="0.25">
      <c r="A5" s="15" t="s">
        <v>78</v>
      </c>
      <c r="B5" s="16" t="s">
        <v>79</v>
      </c>
    </row>
    <row r="6" spans="1:2" ht="30" customHeight="1" x14ac:dyDescent="0.25">
      <c r="A6" s="15" t="s">
        <v>80</v>
      </c>
      <c r="B6" s="16" t="s">
        <v>81</v>
      </c>
    </row>
    <row r="7" spans="1:2" ht="30" customHeight="1" x14ac:dyDescent="0.25">
      <c r="A7" s="15" t="s">
        <v>82</v>
      </c>
      <c r="B7" s="16" t="s">
        <v>83</v>
      </c>
    </row>
    <row r="8" spans="1:2" ht="30" customHeight="1" x14ac:dyDescent="0.25">
      <c r="A8" s="15" t="s">
        <v>84</v>
      </c>
      <c r="B8" s="16" t="s">
        <v>85</v>
      </c>
    </row>
    <row r="9" spans="1:2" ht="30" customHeight="1" x14ac:dyDescent="0.25">
      <c r="A9" s="15"/>
      <c r="B9" s="16"/>
    </row>
    <row r="10" spans="1:2" ht="30" customHeight="1" x14ac:dyDescent="0.25">
      <c r="A10" s="14" t="s">
        <v>86</v>
      </c>
      <c r="B10" s="14"/>
    </row>
    <row r="11" spans="1:2" ht="18" customHeight="1" x14ac:dyDescent="0.25">
      <c r="A11" s="15" t="s">
        <v>87</v>
      </c>
      <c r="B11" s="16" t="s">
        <v>88</v>
      </c>
    </row>
    <row r="12" spans="1:2" ht="18" customHeight="1" x14ac:dyDescent="0.25">
      <c r="A12" s="15" t="s">
        <v>89</v>
      </c>
      <c r="B12" s="16" t="s">
        <v>90</v>
      </c>
    </row>
    <row r="13" spans="1:2" ht="18" customHeight="1" x14ac:dyDescent="0.25">
      <c r="A13" s="15" t="s">
        <v>78</v>
      </c>
      <c r="B13" s="16" t="s">
        <v>28</v>
      </c>
    </row>
    <row r="14" spans="1:2" ht="18" customHeight="1" x14ac:dyDescent="0.25">
      <c r="A14" s="15" t="s">
        <v>80</v>
      </c>
      <c r="B14" s="16" t="s">
        <v>91</v>
      </c>
    </row>
    <row r="15" spans="1:2" ht="18" customHeight="1" x14ac:dyDescent="0.25">
      <c r="A15" s="15" t="s">
        <v>92</v>
      </c>
      <c r="B15" s="16" t="s">
        <v>93</v>
      </c>
    </row>
    <row r="16" spans="1:2" ht="18" customHeight="1" x14ac:dyDescent="0.25">
      <c r="A16" s="15" t="s">
        <v>84</v>
      </c>
      <c r="B16" s="16" t="s">
        <v>94</v>
      </c>
    </row>
    <row r="17" spans="1:2" ht="30" customHeight="1" x14ac:dyDescent="0.25">
      <c r="A17" s="15"/>
      <c r="B17" s="16"/>
    </row>
    <row r="18" spans="1:2" ht="18" customHeight="1" x14ac:dyDescent="0.25">
      <c r="A18" s="15" t="s">
        <v>87</v>
      </c>
      <c r="B18" s="16" t="s">
        <v>33</v>
      </c>
    </row>
    <row r="19" spans="1:2" ht="18" customHeight="1" x14ac:dyDescent="0.25">
      <c r="A19" s="15" t="s">
        <v>89</v>
      </c>
      <c r="B19" s="16" t="s">
        <v>95</v>
      </c>
    </row>
    <row r="20" spans="1:2" ht="18" customHeight="1" x14ac:dyDescent="0.25">
      <c r="A20" s="15" t="s">
        <v>78</v>
      </c>
      <c r="B20" s="16" t="s">
        <v>30</v>
      </c>
    </row>
    <row r="21" spans="1:2" ht="18" customHeight="1" x14ac:dyDescent="0.25">
      <c r="A21" s="15" t="s">
        <v>80</v>
      </c>
      <c r="B21" s="16" t="s">
        <v>96</v>
      </c>
    </row>
    <row r="22" spans="1:2" ht="18" customHeight="1" x14ac:dyDescent="0.25">
      <c r="A22" s="15" t="s">
        <v>92</v>
      </c>
      <c r="B22" s="16" t="s">
        <v>97</v>
      </c>
    </row>
    <row r="23" spans="1:2" ht="18" customHeight="1" x14ac:dyDescent="0.25">
      <c r="A23" s="15" t="s">
        <v>84</v>
      </c>
      <c r="B23" s="16" t="s">
        <v>98</v>
      </c>
    </row>
    <row r="24" spans="1:2" ht="30" customHeight="1" x14ac:dyDescent="0.25">
      <c r="A24" s="15"/>
      <c r="B24" s="16"/>
    </row>
    <row r="25" spans="1:2" ht="18" customHeight="1" x14ac:dyDescent="0.25">
      <c r="A25" s="15" t="s">
        <v>87</v>
      </c>
      <c r="B25" s="16" t="s">
        <v>99</v>
      </c>
    </row>
    <row r="26" spans="1:2" ht="18" customHeight="1" x14ac:dyDescent="0.25">
      <c r="A26" s="15" t="s">
        <v>89</v>
      </c>
      <c r="B26" s="16" t="s">
        <v>100</v>
      </c>
    </row>
    <row r="27" spans="1:2" ht="18" customHeight="1" x14ac:dyDescent="0.25">
      <c r="A27" s="15" t="s">
        <v>78</v>
      </c>
      <c r="B27" s="16" t="s">
        <v>101</v>
      </c>
    </row>
    <row r="28" spans="1:2" ht="18" customHeight="1" x14ac:dyDescent="0.25">
      <c r="A28" s="15" t="s">
        <v>80</v>
      </c>
      <c r="B28" s="16" t="s">
        <v>102</v>
      </c>
    </row>
    <row r="29" spans="1:2" ht="18" customHeight="1" x14ac:dyDescent="0.25">
      <c r="A29" s="15" t="s">
        <v>92</v>
      </c>
      <c r="B29" s="16" t="s">
        <v>103</v>
      </c>
    </row>
    <row r="30" spans="1:2" ht="18" customHeight="1" x14ac:dyDescent="0.25">
      <c r="A30" s="15" t="s">
        <v>84</v>
      </c>
      <c r="B30" s="16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 &amp; Konversi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MaboKolak</cp:lastModifiedBy>
  <cp:revision>0</cp:revision>
  <dcterms:created xsi:type="dcterms:W3CDTF">2026-04-29T11:12:36Z</dcterms:created>
  <dcterms:modified xsi:type="dcterms:W3CDTF">2026-04-29T11:48:02Z</dcterms:modified>
  <dc:language>en-US</dc:language>
</cp:coreProperties>
</file>